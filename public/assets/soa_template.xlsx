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Times New Roman"/>
      <family val="1"/>
      <sz val="9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9"/>
      <sz val="11"/>
    </font>
    <font>
      <name val="Aptos Narrow"/>
      <family val="2"/>
      <color theme="1"/>
      <sz val="11"/>
    </font>
    <font>
      <name val="Aptos Narrow"/>
      <family val="2"/>
      <b val="1"/>
      <color theme="9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b val="1"/>
      <color theme="1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6B26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1" fillId="0" borderId="0"/>
    <xf numFmtId="43" fontId="1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14" fontId="0" fillId="0" borderId="1" applyAlignment="1" pivotButton="0" quotePrefix="0" xfId="0">
      <alignment horizontal="center"/>
    </xf>
    <xf numFmtId="164" fontId="10" fillId="0" borderId="1" applyAlignment="1" pivotButton="0" quotePrefix="0" xfId="1">
      <alignment horizontal="right"/>
    </xf>
    <xf numFmtId="4" fontId="11" fillId="0" borderId="1" applyAlignment="1" pivotButton="0" quotePrefix="0" xfId="0">
      <alignment horizontal="right"/>
    </xf>
    <xf numFmtId="164" fontId="11" fillId="0" borderId="1" applyAlignment="1" pivotButton="0" quotePrefix="0" xfId="1">
      <alignment horizontal="right"/>
    </xf>
    <xf numFmtId="0" fontId="12" fillId="4" borderId="1" applyAlignment="1" pivotButton="0" quotePrefix="0" xfId="0">
      <alignment horizontal="right"/>
    </xf>
    <xf numFmtId="164" fontId="12" fillId="4" borderId="1" applyAlignment="1" pivotButton="0" quotePrefix="0" xfId="1">
      <alignment horizontal="right"/>
    </xf>
    <xf numFmtId="0" fontId="10" fillId="0" borderId="1" applyAlignment="1" pivotButton="0" quotePrefix="0" xfId="0">
      <alignment horizontal="right"/>
    </xf>
    <xf numFmtId="16" fontId="0" fillId="0" borderId="1" applyAlignment="1" pivotButton="0" quotePrefix="0" xfId="0">
      <alignment horizontal="center"/>
    </xf>
    <xf numFmtId="16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8" fillId="0" borderId="5" applyAlignment="1" pivotButton="0" quotePrefix="0" xfId="0">
      <alignment wrapText="1"/>
    </xf>
    <xf numFmtId="0" fontId="0" fillId="0" borderId="5" applyAlignment="1" pivotButton="0" quotePrefix="0" xfId="0">
      <alignment horizontal="center"/>
    </xf>
    <xf numFmtId="14" fontId="8" fillId="0" borderId="5" applyAlignment="1" pivotButton="0" quotePrefix="0" xfId="0">
      <alignment horizontal="center" wrapText="1"/>
    </xf>
    <xf numFmtId="0" fontId="5" fillId="0" borderId="5" applyAlignment="1" pivotButton="0" quotePrefix="0" xfId="0">
      <alignment horizontal="center" vertical="center" wrapText="1"/>
    </xf>
    <xf numFmtId="4" fontId="8" fillId="0" borderId="5" applyAlignment="1" pivotButton="0" quotePrefix="0" xfId="0">
      <alignment horizontal="right" wrapText="1"/>
    </xf>
    <xf numFmtId="0" fontId="6" fillId="3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4" fillId="2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 wrapText="1"/>
    </xf>
    <xf numFmtId="164" fontId="0" fillId="0" borderId="2" pivotButton="0" quotePrefix="0" xfId="1"/>
    <xf numFmtId="0" fontId="6" fillId="3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/>
    </xf>
    <xf numFmtId="0" fontId="0" fillId="0" borderId="8" pivotButton="0" quotePrefix="0" xfId="0"/>
    <xf numFmtId="164" fontId="0" fillId="0" borderId="2" pivotButton="0" quotePrefix="0" xfId="1"/>
    <xf numFmtId="164" fontId="10" fillId="0" borderId="1" applyAlignment="1" pivotButton="0" quotePrefix="0" xfId="1">
      <alignment horizontal="right"/>
    </xf>
    <xf numFmtId="164" fontId="11" fillId="0" borderId="1" applyAlignment="1" pivotButton="0" quotePrefix="0" xfId="1">
      <alignment horizontal="right"/>
    </xf>
    <xf numFmtId="164" fontId="12" fillId="4" borderId="1" applyAlignment="1" pivotButton="0" quotePrefix="0" xfId="1">
      <alignment horizontal="right"/>
    </xf>
  </cellXfs>
  <cellStyles count="2">
    <cellStyle name="Normal" xfId="0" builtinId="0"/>
    <cellStyle name="Comma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4</col>
      <colOff>176953</colOff>
      <row>1</row>
      <rowOff>87086</rowOff>
    </from>
    <to>
      <col>6</col>
      <colOff>196185</colOff>
      <row>6</row>
      <rowOff>160020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649893" y="269966"/>
          <a:ext cx="1764212" cy="98733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tabSelected="1" workbookViewId="0">
      <selection activeCell="J25" sqref="J25"/>
    </sheetView>
  </sheetViews>
  <sheetFormatPr baseColWidth="8" defaultRowHeight="14.4"/>
  <cols>
    <col width="8.88671875" customWidth="1" style="1" min="1" max="1"/>
    <col width="39.21875" bestFit="1" customWidth="1" style="1" min="2" max="2"/>
    <col width="7.77734375" bestFit="1" customWidth="1" style="1" min="3" max="3"/>
    <col width="9.33203125" bestFit="1" customWidth="1" style="1" min="4" max="4"/>
    <col width="16.109375" customWidth="1" style="1" min="5" max="5"/>
    <col width="9.33203125" bestFit="1" customWidth="1" style="1" min="6" max="6"/>
    <col width="11.44140625" bestFit="1" customWidth="1" style="1" min="7" max="8"/>
    <col width="23.44140625" customWidth="1" style="1" min="9" max="9"/>
    <col width="15.44140625" customWidth="1" style="1" min="10" max="10"/>
    <col width="8.88671875" customWidth="1" style="1" min="11" max="26"/>
  </cols>
  <sheetData>
    <row r="1">
      <c r="C1" s="2" t="n"/>
    </row>
    <row r="2">
      <c r="C2" s="2" t="n"/>
    </row>
    <row r="3">
      <c r="C3" s="2" t="n"/>
    </row>
    <row r="4">
      <c r="C4" s="2" t="n"/>
    </row>
    <row r="5">
      <c r="C5" s="2" t="n"/>
    </row>
    <row r="6">
      <c r="C6" s="2" t="n"/>
    </row>
    <row r="7">
      <c r="C7" s="2" t="n"/>
    </row>
    <row r="8">
      <c r="B8" s="3" t="inlineStr">
        <is>
          <t>Address: Santana Grove, Unit SF02 Soreena Ave. cor. Dr. A Santos Ave., Brgy. San Antonio, Parañaque City</t>
        </is>
      </c>
      <c r="C8" s="32" t="n"/>
      <c r="D8" s="32" t="n"/>
      <c r="E8" s="32" t="n"/>
      <c r="F8" s="32" t="n"/>
      <c r="G8" s="32" t="n"/>
      <c r="H8" s="32" t="n"/>
      <c r="I8" s="32" t="n"/>
    </row>
    <row r="9">
      <c r="B9" s="3" t="inlineStr">
        <is>
          <t>VAT Reg. TIN: 009-006-539-000</t>
        </is>
      </c>
      <c r="C9" s="32" t="n"/>
      <c r="D9" s="32" t="n"/>
      <c r="E9" s="32" t="n"/>
      <c r="F9" s="32" t="n"/>
      <c r="G9" s="32" t="n"/>
      <c r="H9" s="32" t="n"/>
      <c r="I9" s="32" t="n"/>
    </row>
    <row r="10">
      <c r="B10" s="1" t="inlineStr">
        <is>
          <t>Statement of Account: Subic Duty Free Shop Inc</t>
        </is>
      </c>
      <c r="C10" s="2" t="n"/>
    </row>
    <row r="11">
      <c r="B11" s="4" t="inlineStr">
        <is>
          <t>As of September 11, 2026</t>
        </is>
      </c>
      <c r="C11" s="2" t="n"/>
    </row>
    <row r="12">
      <c r="B12" s="4" t="n"/>
      <c r="C12" s="2" t="n"/>
    </row>
    <row r="13">
      <c r="A13" s="14" t="n"/>
      <c r="B13" s="23" t="inlineStr">
        <is>
          <t>Customer</t>
        </is>
      </c>
      <c r="C13" s="24" t="inlineStr">
        <is>
          <t>SI NO.</t>
        </is>
      </c>
      <c r="D13" s="24" t="inlineStr">
        <is>
          <t>Date</t>
        </is>
      </c>
      <c r="E13" s="24" t="inlineStr">
        <is>
          <t>Transaction Type</t>
        </is>
      </c>
      <c r="F13" s="24" t="inlineStr">
        <is>
          <t>Due Date</t>
        </is>
      </c>
      <c r="G13" s="24" t="inlineStr">
        <is>
          <t>Amount</t>
        </is>
      </c>
      <c r="H13" s="24" t="inlineStr">
        <is>
          <t>Balance</t>
        </is>
      </c>
      <c r="I13" s="24" t="inlineStr">
        <is>
          <t>Status</t>
        </is>
      </c>
      <c r="J13" s="15" t="n"/>
    </row>
    <row r="14">
      <c r="A14" s="14" t="n"/>
      <c r="B14" s="25" t="inlineStr">
        <is>
          <t>Subic Duty Free Shop Inc</t>
        </is>
      </c>
      <c r="C14" s="26" t="inlineStr">
        <is>
          <t>SI 29542</t>
        </is>
      </c>
      <c r="D14" s="27" t="n">
        <v>46254</v>
      </c>
      <c r="E14" s="28" t="inlineStr">
        <is>
          <t>Invoice</t>
        </is>
      </c>
      <c r="F14" s="27" t="n">
        <v>46269</v>
      </c>
      <c r="G14" s="33" t="n">
        <v>42759.09</v>
      </c>
      <c r="H14" s="33" t="n">
        <v>42759.09</v>
      </c>
      <c r="I14" s="30">
        <f>IF(F14&lt;TODAY(),"OVERDUE","CURRENT")</f>
        <v/>
      </c>
      <c r="J14" s="15" t="n"/>
    </row>
    <row r="15">
      <c r="A15" s="14" t="n"/>
      <c r="B15" s="25" t="inlineStr">
        <is>
          <t>Subic Duty Free Shop Inc</t>
        </is>
      </c>
      <c r="C15" s="26" t="n">
        <v>29543</v>
      </c>
      <c r="D15" s="27" t="n">
        <v>46254</v>
      </c>
      <c r="E15" s="28" t="inlineStr">
        <is>
          <t>Invoice</t>
        </is>
      </c>
      <c r="F15" s="27" t="n">
        <v>46269</v>
      </c>
      <c r="G15" s="33" t="n">
        <v>104544</v>
      </c>
      <c r="H15" s="33" t="n">
        <v>104544</v>
      </c>
      <c r="I15" s="30">
        <f>IF(F15&lt;TODAY(),"OVERDUE","CURRENT")</f>
        <v/>
      </c>
      <c r="J15" s="15" t="n"/>
    </row>
    <row r="16">
      <c r="A16" s="14" t="n"/>
      <c r="B16" s="25" t="inlineStr">
        <is>
          <t>Subic Duty Free Shop Inc</t>
        </is>
      </c>
      <c r="C16" s="26" t="n">
        <v>29596</v>
      </c>
      <c r="D16" s="27" t="n">
        <v>46268</v>
      </c>
      <c r="E16" s="28" t="inlineStr">
        <is>
          <t>Invoice</t>
        </is>
      </c>
      <c r="F16" s="27" t="n">
        <v>46283</v>
      </c>
      <c r="G16" s="33" t="n">
        <v>52272</v>
      </c>
      <c r="H16" s="33" t="n">
        <v>52272</v>
      </c>
      <c r="I16" s="30">
        <f>IF(F16&lt;TODAY(),"OVERDUE","CURRENT")</f>
        <v/>
      </c>
      <c r="J16" s="15" t="n"/>
    </row>
    <row r="17">
      <c r="B17" s="16" t="n"/>
      <c r="C17" s="17" t="n"/>
      <c r="D17" s="18" t="n"/>
      <c r="E17" s="19" t="n"/>
      <c r="F17" s="18" t="n"/>
      <c r="G17" s="20" t="n"/>
      <c r="H17" s="20" t="n"/>
      <c r="I17" s="21" t="n"/>
    </row>
    <row r="18">
      <c r="C18" s="2" t="n"/>
      <c r="G18" s="34" t="inlineStr">
        <is>
          <t>OVERDUE</t>
        </is>
      </c>
      <c r="H18" s="7">
        <f>SUMIF(I14:I16,"OVERDUE",H14:H16)</f>
        <v/>
      </c>
    </row>
    <row r="19">
      <c r="C19" s="2" t="n"/>
      <c r="G19" s="35" t="inlineStr">
        <is>
          <t>CURRENT</t>
        </is>
      </c>
      <c r="H19" s="7">
        <f>SUMIF(I14:I16,"CURRENT",H14:H16)</f>
        <v/>
      </c>
    </row>
    <row r="20">
      <c r="C20" s="2" t="n"/>
      <c r="G20" s="9" t="inlineStr">
        <is>
          <t>TOTAL</t>
        </is>
      </c>
      <c r="H20" s="36">
        <f>SUM(H14:H16)</f>
        <v/>
      </c>
    </row>
    <row r="21">
      <c r="C21" s="2" t="n"/>
      <c r="F21" s="11" t="n"/>
      <c r="G21" s="11" t="n"/>
      <c r="I21" s="2" t="n"/>
    </row>
    <row r="22">
      <c r="C22" s="2" t="n"/>
      <c r="F22" s="11" t="n"/>
      <c r="G22" s="11" t="n"/>
    </row>
    <row r="23">
      <c r="C23" s="2" t="n"/>
    </row>
    <row r="24">
      <c r="C24" s="2" t="n"/>
    </row>
    <row r="25">
      <c r="C25" s="2" t="n"/>
    </row>
    <row r="26">
      <c r="C26" s="2" t="n"/>
    </row>
    <row r="27">
      <c r="C27" s="2" t="n"/>
      <c r="D27" s="1" t="inlineStr">
        <is>
          <t>S</t>
        </is>
      </c>
    </row>
    <row r="28">
      <c r="C28" s="12" t="n"/>
      <c r="D28" s="13" t="n"/>
      <c r="E28" s="13" t="n"/>
      <c r="F28" s="13" t="n"/>
      <c r="G28" s="13" t="n"/>
      <c r="H28" s="13" t="n"/>
    </row>
    <row r="29">
      <c r="C29" s="2" t="n"/>
    </row>
    <row r="30">
      <c r="C30" s="2" t="n"/>
    </row>
    <row r="31">
      <c r="C31" s="2" t="n"/>
    </row>
    <row r="32">
      <c r="C32" s="2" t="n"/>
    </row>
    <row r="33">
      <c r="C33" s="2" t="n"/>
    </row>
    <row r="34">
      <c r="C34" s="2" t="n"/>
    </row>
    <row r="35">
      <c r="C35" s="2" t="n"/>
    </row>
    <row r="36">
      <c r="C36" s="2" t="n"/>
    </row>
    <row r="37">
      <c r="C37" s="2" t="n"/>
    </row>
    <row r="38">
      <c r="C38" s="2" t="n"/>
    </row>
    <row r="39">
      <c r="C39" s="2" t="n"/>
    </row>
    <row r="40">
      <c r="C40" s="2" t="n"/>
    </row>
    <row r="41">
      <c r="C41" s="2" t="n"/>
    </row>
    <row r="42">
      <c r="C42" s="2" t="n"/>
    </row>
    <row r="43">
      <c r="C43" s="2" t="n"/>
    </row>
    <row r="44">
      <c r="C44" s="2" t="n"/>
    </row>
    <row r="45">
      <c r="C45" s="2" t="n"/>
    </row>
    <row r="46">
      <c r="C46" s="2" t="n"/>
    </row>
    <row r="47">
      <c r="C47" s="2" t="n"/>
    </row>
    <row r="48">
      <c r="C48" s="2" t="n"/>
    </row>
    <row r="49">
      <c r="C49" s="2" t="n"/>
    </row>
    <row r="50">
      <c r="C50" s="2" t="n"/>
    </row>
    <row r="51">
      <c r="C51" s="2" t="n"/>
    </row>
    <row r="52">
      <c r="C52" s="2" t="n"/>
    </row>
    <row r="53">
      <c r="C53" s="2" t="n"/>
    </row>
    <row r="54">
      <c r="C54" s="2" t="n"/>
    </row>
    <row r="55">
      <c r="C55" s="2" t="n"/>
    </row>
    <row r="56">
      <c r="C56" s="2" t="n"/>
    </row>
    <row r="57">
      <c r="C57" s="2" t="n"/>
    </row>
    <row r="58">
      <c r="C58" s="2" t="n"/>
    </row>
    <row r="59">
      <c r="C59" s="2" t="n"/>
    </row>
    <row r="60">
      <c r="C60" s="2" t="n"/>
    </row>
    <row r="61">
      <c r="C61" s="2" t="n"/>
    </row>
    <row r="62">
      <c r="C62" s="2" t="n"/>
    </row>
    <row r="63">
      <c r="C63" s="2" t="n"/>
    </row>
    <row r="64">
      <c r="C64" s="2" t="n"/>
    </row>
    <row r="65">
      <c r="C65" s="2" t="n"/>
    </row>
    <row r="66">
      <c r="C66" s="2" t="n"/>
    </row>
    <row r="67">
      <c r="C67" s="2" t="n"/>
    </row>
    <row r="68">
      <c r="C68" s="2" t="n"/>
    </row>
    <row r="69">
      <c r="C69" s="2" t="n"/>
    </row>
    <row r="70">
      <c r="C70" s="2" t="n"/>
    </row>
    <row r="71">
      <c r="C71" s="2" t="n"/>
    </row>
    <row r="72">
      <c r="C72" s="2" t="n"/>
    </row>
    <row r="73">
      <c r="C73" s="2" t="n"/>
    </row>
    <row r="74">
      <c r="C74" s="2" t="n"/>
    </row>
    <row r="75">
      <c r="C75" s="2" t="n"/>
    </row>
    <row r="76">
      <c r="C76" s="2" t="n"/>
    </row>
    <row r="77">
      <c r="C77" s="2" t="n"/>
    </row>
    <row r="78">
      <c r="C78" s="2" t="n"/>
    </row>
    <row r="79">
      <c r="C79" s="2" t="n"/>
    </row>
    <row r="80">
      <c r="C80" s="2" t="n"/>
    </row>
    <row r="81">
      <c r="C81" s="2" t="n"/>
    </row>
    <row r="82">
      <c r="C82" s="2" t="n"/>
    </row>
    <row r="83">
      <c r="C83" s="2" t="n"/>
    </row>
    <row r="84">
      <c r="C84" s="2" t="n"/>
    </row>
    <row r="85">
      <c r="C85" s="2" t="n"/>
    </row>
    <row r="86">
      <c r="C86" s="2" t="n"/>
    </row>
    <row r="87">
      <c r="C87" s="2" t="n"/>
    </row>
    <row r="88">
      <c r="C88" s="2" t="n"/>
    </row>
    <row r="89">
      <c r="C89" s="2" t="n"/>
    </row>
    <row r="90">
      <c r="C90" s="2" t="n"/>
    </row>
    <row r="91">
      <c r="C91" s="2" t="n"/>
    </row>
    <row r="92">
      <c r="C92" s="2" t="n"/>
    </row>
    <row r="93">
      <c r="C93" s="2" t="n"/>
    </row>
    <row r="94">
      <c r="C94" s="2" t="n"/>
    </row>
    <row r="95">
      <c r="C95" s="2" t="n"/>
    </row>
    <row r="96">
      <c r="C96" s="2" t="n"/>
    </row>
    <row r="97">
      <c r="C97" s="2" t="n"/>
    </row>
    <row r="98">
      <c r="C98" s="2" t="n"/>
    </row>
    <row r="99">
      <c r="C99" s="2" t="n"/>
    </row>
    <row r="100">
      <c r="C100" s="2" t="n"/>
    </row>
    <row r="101">
      <c r="C101" s="2" t="n"/>
    </row>
    <row r="102">
      <c r="C102" s="2" t="n"/>
    </row>
    <row r="103">
      <c r="C103" s="2" t="n"/>
    </row>
    <row r="104">
      <c r="C104" s="2" t="n"/>
    </row>
    <row r="105">
      <c r="C105" s="2" t="n"/>
    </row>
    <row r="106">
      <c r="C106" s="2" t="n"/>
    </row>
    <row r="107">
      <c r="C107" s="2" t="n"/>
    </row>
    <row r="108">
      <c r="C108" s="2" t="n"/>
    </row>
    <row r="109">
      <c r="C109" s="2" t="n"/>
    </row>
    <row r="110">
      <c r="C110" s="2" t="n"/>
    </row>
    <row r="111">
      <c r="C111" s="2" t="n"/>
    </row>
    <row r="112">
      <c r="C112" s="2" t="n"/>
    </row>
    <row r="113">
      <c r="C113" s="2" t="n"/>
    </row>
    <row r="114">
      <c r="C114" s="2" t="n"/>
    </row>
    <row r="115">
      <c r="C115" s="2" t="n"/>
    </row>
    <row r="116">
      <c r="C116" s="2" t="n"/>
    </row>
    <row r="117">
      <c r="C117" s="2" t="n"/>
    </row>
    <row r="118">
      <c r="C118" s="2" t="n"/>
    </row>
    <row r="119">
      <c r="C119" s="2" t="n"/>
    </row>
    <row r="120">
      <c r="C120" s="2" t="n"/>
    </row>
    <row r="121">
      <c r="C121" s="2" t="n"/>
    </row>
    <row r="122">
      <c r="C122" s="2" t="n"/>
    </row>
    <row r="123">
      <c r="C123" s="2" t="n"/>
    </row>
  </sheetData>
  <mergeCells count="2">
    <mergeCell ref="B9:J9"/>
    <mergeCell ref="B8:J8"/>
  </mergeCells>
  <conditionalFormatting sqref="G20 I1:I7 I14:I17 I21:I123">
    <cfRule type="containsText" priority="2" operator="containsText" dxfId="0" text="OVERDUE">
      <formula>NOT(ISERROR(SEARCH("OVERDUE",G1)))</formula>
    </cfRule>
  </conditionalFormatting>
  <conditionalFormatting sqref="F21:G22 I10:I12">
    <cfRule type="containsText" priority="1" operator="containsText" dxfId="0" text="OVERDUE">
      <formula>NOT(ISERROR(SEARCH("OVERDUE",F10)))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Rare Global</dc:creator>
  <dcterms:created xmlns:dcterms="http://purl.org/dc/terms/" xmlns:xsi="http://www.w3.org/2001/XMLSchema-instance" xsi:type="dcterms:W3CDTF">2026-09-11T08:04:32Z</dcterms:created>
  <dcterms:modified xmlns:dcterms="http://purl.org/dc/terms/" xmlns:xsi="http://www.w3.org/2001/XMLSchema-instance" xsi:type="dcterms:W3CDTF">2026-09-15T02:03:29Z</dcterms:modified>
  <cp:lastModifiedBy>Rare Global</cp:lastModifiedBy>
</cp:coreProperties>
</file>